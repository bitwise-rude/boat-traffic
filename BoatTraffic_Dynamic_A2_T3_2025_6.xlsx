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/Users/stephenbradshaw/Desktop/"/>
    </mc:Choice>
  </mc:AlternateContent>
  <xr:revisionPtr revIDLastSave="0" documentId="13_ncr:41000001_{5BF281A5-81F1-9745-B3F1-211EE3F867C5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Raw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G2" i="1"/>
  <c r="C2" i="1"/>
  <c r="D2" i="1"/>
  <c r="E2" i="1"/>
  <c r="C3" i="1"/>
  <c r="D3" i="1"/>
  <c r="E3" i="1"/>
  <c r="C17" i="1"/>
  <c r="D17" i="1"/>
  <c r="E17" i="1"/>
  <c r="C31" i="1"/>
  <c r="D31" i="1"/>
  <c r="E31" i="1"/>
  <c r="C45" i="1"/>
  <c r="D45" i="1"/>
  <c r="E45" i="1"/>
  <c r="C59" i="1"/>
  <c r="D59" i="1"/>
  <c r="E59" i="1"/>
  <c r="C73" i="1"/>
  <c r="D73" i="1"/>
  <c r="E73" i="1"/>
  <c r="C18" i="1"/>
  <c r="D18" i="1"/>
  <c r="E18" i="1"/>
  <c r="C32" i="1"/>
  <c r="D32" i="1"/>
  <c r="E32" i="1"/>
  <c r="C46" i="1"/>
  <c r="D46" i="1"/>
  <c r="E46" i="1"/>
  <c r="C60" i="1"/>
  <c r="D60" i="1"/>
  <c r="E60" i="1"/>
  <c r="C74" i="1"/>
  <c r="D74" i="1"/>
  <c r="E74" i="1"/>
  <c r="C51" i="1"/>
  <c r="D51" i="1"/>
  <c r="E51" i="1"/>
  <c r="C52" i="1"/>
  <c r="D52" i="1"/>
  <c r="E52" i="1"/>
  <c r="C11" i="1"/>
  <c r="D11" i="1"/>
  <c r="E11" i="1"/>
  <c r="C81" i="1"/>
  <c r="D81" i="1"/>
  <c r="E81" i="1"/>
  <c r="C12" i="1"/>
  <c r="D12" i="1"/>
  <c r="E12" i="1"/>
  <c r="C54" i="1"/>
  <c r="D54" i="1"/>
  <c r="E54" i="1"/>
  <c r="C55" i="1"/>
  <c r="D55" i="1"/>
  <c r="E55" i="1"/>
  <c r="C28" i="1"/>
  <c r="D28" i="1"/>
  <c r="E28" i="1"/>
  <c r="C84" i="1"/>
  <c r="D84" i="1"/>
  <c r="E84" i="1"/>
  <c r="C43" i="1"/>
  <c r="D43" i="1"/>
  <c r="E43" i="1"/>
  <c r="C30" i="1"/>
  <c r="D30" i="1"/>
  <c r="E30" i="1"/>
  <c r="C72" i="1"/>
  <c r="D72" i="1"/>
  <c r="E72" i="1"/>
  <c r="C4" i="1"/>
  <c r="D4" i="1"/>
  <c r="E4" i="1"/>
  <c r="C21" i="1"/>
  <c r="D21" i="1"/>
  <c r="E21" i="1"/>
  <c r="C23" i="1"/>
  <c r="D23" i="1"/>
  <c r="E23" i="1"/>
  <c r="C79" i="1"/>
  <c r="D79" i="1"/>
  <c r="E79" i="1"/>
  <c r="C38" i="1"/>
  <c r="D38" i="1"/>
  <c r="E38" i="1"/>
  <c r="C53" i="1"/>
  <c r="D53" i="1"/>
  <c r="E53" i="1"/>
  <c r="C26" i="1"/>
  <c r="D26" i="1"/>
  <c r="E26" i="1"/>
  <c r="C68" i="1"/>
  <c r="D68" i="1"/>
  <c r="E68" i="1"/>
  <c r="C41" i="1"/>
  <c r="D41" i="1"/>
  <c r="E41" i="1"/>
  <c r="C14" i="1"/>
  <c r="D14" i="1"/>
  <c r="E14" i="1"/>
  <c r="C70" i="1"/>
  <c r="D70" i="1"/>
  <c r="E70" i="1"/>
  <c r="C15" i="1"/>
  <c r="D15" i="1"/>
  <c r="E15" i="1"/>
  <c r="C85" i="1"/>
  <c r="D85" i="1"/>
  <c r="E85" i="1"/>
  <c r="C58" i="1"/>
  <c r="D58" i="1"/>
  <c r="E58" i="1"/>
  <c r="C5" i="1"/>
  <c r="D5" i="1"/>
  <c r="E5" i="1"/>
  <c r="C19" i="1"/>
  <c r="D19" i="1"/>
  <c r="E19" i="1"/>
  <c r="C33" i="1"/>
  <c r="D33" i="1"/>
  <c r="E33" i="1"/>
  <c r="C47" i="1"/>
  <c r="D47" i="1"/>
  <c r="E47" i="1"/>
  <c r="C61" i="1"/>
  <c r="D61" i="1"/>
  <c r="E61" i="1"/>
  <c r="C75" i="1"/>
  <c r="D75" i="1"/>
  <c r="E75" i="1"/>
  <c r="C35" i="1"/>
  <c r="D35" i="1"/>
  <c r="E35" i="1"/>
  <c r="C37" i="1"/>
  <c r="D37" i="1"/>
  <c r="E37" i="1"/>
  <c r="C10" i="1"/>
  <c r="D10" i="1"/>
  <c r="E10" i="1"/>
  <c r="C66" i="1"/>
  <c r="D66" i="1"/>
  <c r="E66" i="1"/>
  <c r="C25" i="1"/>
  <c r="D25" i="1"/>
  <c r="E25" i="1"/>
  <c r="C67" i="1"/>
  <c r="D67" i="1"/>
  <c r="E67" i="1"/>
  <c r="C82" i="1"/>
  <c r="D82" i="1"/>
  <c r="E82" i="1"/>
  <c r="C27" i="1"/>
  <c r="D27" i="1"/>
  <c r="E27" i="1"/>
  <c r="C69" i="1"/>
  <c r="D69" i="1"/>
  <c r="E69" i="1"/>
  <c r="C56" i="1"/>
  <c r="D56" i="1"/>
  <c r="E56" i="1"/>
  <c r="C57" i="1"/>
  <c r="D57" i="1"/>
  <c r="E57" i="1"/>
  <c r="C71" i="1"/>
  <c r="D71" i="1"/>
  <c r="E71" i="1"/>
  <c r="C44" i="1"/>
  <c r="D44" i="1"/>
  <c r="E44" i="1"/>
  <c r="C6" i="1"/>
  <c r="D6" i="1"/>
  <c r="E6" i="1"/>
  <c r="C20" i="1"/>
  <c r="D20" i="1"/>
  <c r="E20" i="1"/>
  <c r="C34" i="1"/>
  <c r="D34" i="1"/>
  <c r="E34" i="1"/>
  <c r="C48" i="1"/>
  <c r="D48" i="1"/>
  <c r="E48" i="1"/>
  <c r="C62" i="1"/>
  <c r="D62" i="1"/>
  <c r="E62" i="1"/>
  <c r="C76" i="1"/>
  <c r="D76" i="1"/>
  <c r="E76" i="1"/>
  <c r="C7" i="1"/>
  <c r="D7" i="1"/>
  <c r="E7" i="1"/>
  <c r="C49" i="1"/>
  <c r="D49" i="1"/>
  <c r="E49" i="1"/>
  <c r="C63" i="1"/>
  <c r="D63" i="1"/>
  <c r="E63" i="1"/>
  <c r="C77" i="1"/>
  <c r="D77" i="1"/>
  <c r="E77" i="1"/>
  <c r="C8" i="1"/>
  <c r="D8" i="1"/>
  <c r="E8" i="1"/>
  <c r="C22" i="1"/>
  <c r="D22" i="1"/>
  <c r="E22" i="1"/>
  <c r="C36" i="1"/>
  <c r="D36" i="1"/>
  <c r="E36" i="1"/>
  <c r="C50" i="1"/>
  <c r="D50" i="1"/>
  <c r="E50" i="1"/>
  <c r="C64" i="1"/>
  <c r="D64" i="1"/>
  <c r="E64" i="1"/>
  <c r="C78" i="1"/>
  <c r="D78" i="1"/>
  <c r="E78" i="1"/>
  <c r="C9" i="1"/>
  <c r="D9" i="1"/>
  <c r="E9" i="1"/>
  <c r="C65" i="1"/>
  <c r="D65" i="1"/>
  <c r="E65" i="1"/>
  <c r="C24" i="1"/>
  <c r="D24" i="1"/>
  <c r="E24" i="1"/>
  <c r="C80" i="1"/>
  <c r="D80" i="1"/>
  <c r="E80" i="1"/>
  <c r="C39" i="1"/>
  <c r="D39" i="1"/>
  <c r="E39" i="1"/>
  <c r="C40" i="1"/>
  <c r="D40" i="1"/>
  <c r="E40" i="1"/>
  <c r="C13" i="1"/>
  <c r="D13" i="1"/>
  <c r="E13" i="1"/>
  <c r="C83" i="1"/>
  <c r="D83" i="1"/>
  <c r="E83" i="1"/>
  <c r="C42" i="1"/>
  <c r="D42" i="1"/>
  <c r="E42" i="1"/>
  <c r="C29" i="1"/>
  <c r="D29" i="1"/>
  <c r="E29" i="1"/>
  <c r="C16" i="1"/>
  <c r="D16" i="1"/>
  <c r="E16" i="1"/>
</calcChain>
</file>

<file path=xl/sharedStrings.xml><?xml version="1.0" encoding="utf-8"?>
<sst xmlns="http://schemas.openxmlformats.org/spreadsheetml/2006/main" count="7" uniqueCount="7">
  <si>
    <t>Date</t>
  </si>
  <si>
    <t>randslope</t>
  </si>
  <si>
    <t>Adjusted_slope</t>
  </si>
  <si>
    <t>average</t>
  </si>
  <si>
    <t>Boats_amp</t>
  </si>
  <si>
    <t>Boat_Counts</t>
  </si>
  <si>
    <t>Boats_Raw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</si>
</sst>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9" Type="http://schemas.openxmlformats.org/officeDocument/2006/relationships/customXml" Target="../customXml/item3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Boat</a:t>
            </a:r>
            <a:r>
              <a:rPr lang="en-US" baseline="0"/>
              <a:t> activity (counted) at existing ramp infrastructure over 7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Raw!$E$1</c:f>
              <c:strCache>
                <c:ptCount val="1"/>
                <c:pt idx="0">
                  <c:v>Boat_Counts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Raw!$A$2:$A$243</c:f>
              <c:numCache>
                <c:formatCode>m/d/yyyy</c:formatCode>
                <c:ptCount val="24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Raw!$E$2:$E$243</c:f>
              <c:numCache>
                <c:formatCode>General</c:formatCode>
                <c:ptCount val="242"/>
                <c:pt idx="0">
                  <c:v>33</c:v>
                </c:pt>
                <c:pt idx="1">
                  <c:v>45</c:v>
                </c:pt>
                <c:pt idx="2">
                  <c:v>#N/A</c:v>
                </c:pt>
                <c:pt idx="3">
                  <c:v>#N/A</c:v>
                </c:pt>
                <c:pt idx="4">
                  <c:v>194</c:v>
                </c:pt>
                <c:pt idx="5">
                  <c:v>201</c:v>
                </c:pt>
                <c:pt idx="6">
                  <c:v>162</c:v>
                </c:pt>
                <c:pt idx="7">
                  <c:v>150</c:v>
                </c:pt>
                <c:pt idx="8">
                  <c:v>136</c:v>
                </c:pt>
                <c:pt idx="9">
                  <c:v>82</c:v>
                </c:pt>
                <c:pt idx="10">
                  <c:v>59</c:v>
                </c:pt>
                <c:pt idx="11">
                  <c:v>39</c:v>
                </c:pt>
                <c:pt idx="12">
                  <c:v>54</c:v>
                </c:pt>
                <c:pt idx="13">
                  <c:v>60</c:v>
                </c:pt>
                <c:pt idx="14">
                  <c:v>127</c:v>
                </c:pt>
                <c:pt idx="15">
                  <c:v>158</c:v>
                </c:pt>
                <c:pt idx="16">
                  <c:v>223</c:v>
                </c:pt>
                <c:pt idx="17">
                  <c:v>264</c:v>
                </c:pt>
                <c:pt idx="18">
                  <c:v>195</c:v>
                </c:pt>
                <c:pt idx="19">
                  <c:v>212</c:v>
                </c:pt>
                <c:pt idx="20">
                  <c:v>117</c:v>
                </c:pt>
                <c:pt idx="21">
                  <c:v>132</c:v>
                </c:pt>
                <c:pt idx="22">
                  <c:v>#N/A</c:v>
                </c:pt>
                <c:pt idx="23">
                  <c:v>#N/A</c:v>
                </c:pt>
                <c:pt idx="24">
                  <c:v>24</c:v>
                </c:pt>
                <c:pt idx="25">
                  <c:v>40</c:v>
                </c:pt>
                <c:pt idx="26">
                  <c:v>54</c:v>
                </c:pt>
                <c:pt idx="27">
                  <c:v>88</c:v>
                </c:pt>
                <c:pt idx="28">
                  <c:v>64</c:v>
                </c:pt>
                <c:pt idx="29">
                  <c:v>26</c:v>
                </c:pt>
                <c:pt idx="30">
                  <c:v>63</c:v>
                </c:pt>
                <c:pt idx="31">
                  <c:v>#N/A</c:v>
                </c:pt>
                <c:pt idx="32">
                  <c:v>107</c:v>
                </c:pt>
                <c:pt idx="33">
                  <c:v>81</c:v>
                </c:pt>
                <c:pt idx="34">
                  <c:v>45</c:v>
                </c:pt>
                <c:pt idx="35">
                  <c:v>#N/A</c:v>
                </c:pt>
                <c:pt idx="36">
                  <c:v>41</c:v>
                </c:pt>
                <c:pt idx="37">
                  <c:v>43</c:v>
                </c:pt>
                <c:pt idx="38">
                  <c:v>94</c:v>
                </c:pt>
                <c:pt idx="39">
                  <c:v>175</c:v>
                </c:pt>
                <c:pt idx="40">
                  <c:v>#N/A</c:v>
                </c:pt>
                <c:pt idx="41">
                  <c:v>217</c:v>
                </c:pt>
                <c:pt idx="42">
                  <c:v>212</c:v>
                </c:pt>
                <c:pt idx="43">
                  <c:v>160</c:v>
                </c:pt>
                <c:pt idx="44">
                  <c:v>147</c:v>
                </c:pt>
                <c:pt idx="45">
                  <c:v>102</c:v>
                </c:pt>
                <c:pt idx="46">
                  <c:v>65</c:v>
                </c:pt>
                <c:pt idx="47">
                  <c:v>55</c:v>
                </c:pt>
                <c:pt idx="48">
                  <c:v>#N/A</c:v>
                </c:pt>
                <c:pt idx="49">
                  <c:v>37</c:v>
                </c:pt>
                <c:pt idx="50">
                  <c:v>73</c:v>
                </c:pt>
                <c:pt idx="51">
                  <c:v>140</c:v>
                </c:pt>
                <c:pt idx="52">
                  <c:v>#N/A</c:v>
                </c:pt>
                <c:pt idx="53">
                  <c:v>142</c:v>
                </c:pt>
                <c:pt idx="54">
                  <c:v>166</c:v>
                </c:pt>
                <c:pt idx="55">
                  <c:v>189</c:v>
                </c:pt>
                <c:pt idx="56">
                  <c:v>182</c:v>
                </c:pt>
                <c:pt idx="57">
                  <c:v>#N/A</c:v>
                </c:pt>
                <c:pt idx="58">
                  <c:v>68</c:v>
                </c:pt>
                <c:pt idx="59">
                  <c:v>44</c:v>
                </c:pt>
                <c:pt idx="60">
                  <c:v>59</c:v>
                </c:pt>
                <c:pt idx="61">
                  <c:v>72</c:v>
                </c:pt>
                <c:pt idx="62">
                  <c:v>116</c:v>
                </c:pt>
                <c:pt idx="63">
                  <c:v>189</c:v>
                </c:pt>
                <c:pt idx="64">
                  <c:v>248</c:v>
                </c:pt>
                <c:pt idx="65">
                  <c:v>270</c:v>
                </c:pt>
                <c:pt idx="66">
                  <c:v>204</c:v>
                </c:pt>
                <c:pt idx="67">
                  <c:v>204</c:v>
                </c:pt>
                <c:pt idx="68">
                  <c:v>174</c:v>
                </c:pt>
                <c:pt idx="69">
                  <c:v>126</c:v>
                </c:pt>
                <c:pt idx="70">
                  <c:v>82</c:v>
                </c:pt>
                <c:pt idx="71">
                  <c:v>64</c:v>
                </c:pt>
                <c:pt idx="72">
                  <c:v>57</c:v>
                </c:pt>
                <c:pt idx="73">
                  <c:v>12</c:v>
                </c:pt>
                <c:pt idx="74">
                  <c:v>46</c:v>
                </c:pt>
                <c:pt idx="75">
                  <c:v>67</c:v>
                </c:pt>
                <c:pt idx="76">
                  <c:v>23</c:v>
                </c:pt>
                <c:pt idx="77">
                  <c:v>134</c:v>
                </c:pt>
                <c:pt idx="78">
                  <c:v>311</c:v>
                </c:pt>
                <c:pt idx="79">
                  <c:v>217</c:v>
                </c:pt>
                <c:pt idx="80">
                  <c:v>218</c:v>
                </c:pt>
                <c:pt idx="81">
                  <c:v>136</c:v>
                </c:pt>
                <c:pt idx="82">
                  <c:v>78</c:v>
                </c:pt>
                <c:pt idx="8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6-7E41-9293-FB46B8E89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85456"/>
        <c:axId val="401287168"/>
      </c:scatterChart>
      <c:valAx>
        <c:axId val="40128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87168"/>
        <c:crosses val="autoZero"/>
        <c:crossBetween val="midCat"/>
      </c:valAx>
      <c:valAx>
        <c:axId val="40128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Boat 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8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3</xdr:row>
      <xdr:rowOff>0</xdr:rowOff>
    </xdr:from>
    <xdr:to>
      <xdr:col>22</xdr:col>
      <xdr:colOff>139700</xdr:colOff>
      <xdr:row>17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11A236-FD2F-5E7F-E51E-BA434E003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topLeftCell="A4" workbookViewId="0">
      <selection activeCell="I12" sqref="I12"/>
    </sheetView>
  </sheetViews>
  <sheetFormatPr defaultColWidth="8.875" defaultRowHeight="15" x14ac:dyDescent="0.2"/>
  <cols>
    <col min="1" max="1" width="10.89453125"/>
    <col min="2" max="2" width="10.625" hidden="1" customWidth="1"/>
    <col min="3" max="3" width="12.64453125" hidden="1" customWidth="1"/>
    <col min="4" max="4" width="9.55078125" hidden="1" customWidth="1"/>
    <col min="5" max="5" width="12.10546875" bestFit="1" customWidth="1"/>
    <col min="6" max="6" width="13.046875" customWidth="1"/>
    <col min="7" max="8" width="8.875" hidden="1" customWidth="1"/>
  </cols>
  <sheetData>
    <row r="1" spans="1:8" x14ac:dyDescent="0.2">
      <c r="A1" t="s">
        <v>0</v>
      </c>
      <c r="B1" t="s">
        <v>6</v>
      </c>
      <c r="C1" t="s">
        <v>2</v>
      </c>
      <c r="D1" t="s">
        <v>4</v>
      </c>
      <c r="E1" t="s">
        <v>5</v>
      </c>
      <c r="G1">
        <f ca="1">IF(RAND()&gt;0.5,-1,1)*0.1+RAND()/4</f>
        <v>-2.4037708338261549E-2</v>
      </c>
      <c r="H1" t="s">
        <v>1</v>
      </c>
    </row>
    <row r="2" spans="1:8" x14ac:dyDescent="0.2">
      <c r="A2" s="1">
        <v>43101</v>
      </c>
      <c r="B2">
        <v>300</v>
      </c>
      <c r="C2">
        <f t="shared" ref="C2:C33" ca="1" si="0">$B2+(ROW()-ROW($B$2))*$G$1*5</f>
        <v>300</v>
      </c>
      <c r="D2">
        <f ca="1">$G$1+(C2-0.75*$G$2)*(1.2+RAND()*0.3)</f>
        <v>33.960524502774582</v>
      </c>
      <c r="E2">
        <f ca="1">MAX(_xlfn.FLOOR.MATH(IF(RAND()&lt;0.1,NA(),D2)),0)</f>
        <v>33</v>
      </c>
      <c r="G2">
        <f>AVERAGE(B2:B85)</f>
        <v>366.54761904761904</v>
      </c>
      <c r="H2" t="s">
        <v>3</v>
      </c>
    </row>
    <row r="3" spans="1:8" x14ac:dyDescent="0.2">
      <c r="A3" s="1">
        <v>43132</v>
      </c>
      <c r="B3">
        <v>306</v>
      </c>
      <c r="C3">
        <f t="shared" ca="1" si="0"/>
        <v>305.87981145830867</v>
      </c>
      <c r="D3">
        <f t="shared" ref="D3:D66" ca="1" si="1">$G$1+(C3-0.75*$G$2)*(1.2+RAND()*0.3)</f>
        <v>45.156349425465606</v>
      </c>
      <c r="E3">
        <f t="shared" ref="E3:E66" ca="1" si="2">MAX(_xlfn.FLOOR.MATH(IF(RAND()&lt;0.1,NA(),D3)),0)</f>
        <v>45</v>
      </c>
    </row>
    <row r="4" spans="1:8" x14ac:dyDescent="0.2">
      <c r="A4" s="1">
        <v>43160</v>
      </c>
      <c r="B4">
        <v>349</v>
      </c>
      <c r="C4">
        <f t="shared" ca="1" si="0"/>
        <v>348.75962291661739</v>
      </c>
      <c r="D4">
        <f t="shared" ca="1" si="1"/>
        <v>94.313485714458693</v>
      </c>
      <c r="E4" t="e">
        <f t="shared" ca="1" si="2"/>
        <v>#N/A</v>
      </c>
    </row>
    <row r="5" spans="1:8" x14ac:dyDescent="0.2">
      <c r="A5" s="1">
        <v>43191</v>
      </c>
      <c r="B5">
        <v>390</v>
      </c>
      <c r="C5">
        <f t="shared" ca="1" si="0"/>
        <v>389.63943437492605</v>
      </c>
      <c r="D5">
        <f t="shared" ca="1" si="1"/>
        <v>158.88450079833271</v>
      </c>
      <c r="E5" t="e">
        <f t="shared" ca="1" si="2"/>
        <v>#N/A</v>
      </c>
    </row>
    <row r="6" spans="1:8" x14ac:dyDescent="0.2">
      <c r="A6" s="1">
        <v>43221</v>
      </c>
      <c r="B6">
        <v>415</v>
      </c>
      <c r="C6">
        <f t="shared" ca="1" si="0"/>
        <v>414.51924583323478</v>
      </c>
      <c r="D6">
        <f t="shared" ca="1" si="1"/>
        <v>194.23549715357794</v>
      </c>
      <c r="E6">
        <f t="shared" ca="1" si="2"/>
        <v>194</v>
      </c>
    </row>
    <row r="7" spans="1:8" x14ac:dyDescent="0.2">
      <c r="A7" s="1">
        <v>43252</v>
      </c>
      <c r="B7">
        <v>421</v>
      </c>
      <c r="C7">
        <f t="shared" ca="1" si="0"/>
        <v>420.39905729154344</v>
      </c>
      <c r="D7">
        <f t="shared" ca="1" si="1"/>
        <v>201.05285922352132</v>
      </c>
      <c r="E7">
        <f t="shared" ca="1" si="2"/>
        <v>201</v>
      </c>
    </row>
    <row r="8" spans="1:8" x14ac:dyDescent="0.2">
      <c r="A8" s="1">
        <v>43282</v>
      </c>
      <c r="B8">
        <v>410</v>
      </c>
      <c r="C8">
        <f t="shared" ca="1" si="0"/>
        <v>409.27886874985217</v>
      </c>
      <c r="D8">
        <f t="shared" ca="1" si="1"/>
        <v>162.04684985714812</v>
      </c>
      <c r="E8">
        <f t="shared" ca="1" si="2"/>
        <v>162</v>
      </c>
    </row>
    <row r="9" spans="1:8" x14ac:dyDescent="0.2">
      <c r="A9" s="1">
        <v>43313</v>
      </c>
      <c r="B9">
        <v>400</v>
      </c>
      <c r="C9">
        <f t="shared" ca="1" si="0"/>
        <v>399.15868020816083</v>
      </c>
      <c r="D9">
        <f t="shared" ca="1" si="1"/>
        <v>150.14758311850548</v>
      </c>
      <c r="E9">
        <f t="shared" ca="1" si="2"/>
        <v>150</v>
      </c>
    </row>
    <row r="10" spans="1:8" x14ac:dyDescent="0.2">
      <c r="A10" s="1">
        <v>43344</v>
      </c>
      <c r="B10">
        <v>371</v>
      </c>
      <c r="C10">
        <f t="shared" ca="1" si="0"/>
        <v>370.03849166646955</v>
      </c>
      <c r="D10">
        <f t="shared" ca="1" si="1"/>
        <v>136.91003715676536</v>
      </c>
      <c r="E10">
        <f t="shared" ca="1" si="2"/>
        <v>136</v>
      </c>
    </row>
    <row r="11" spans="1:8" x14ac:dyDescent="0.2">
      <c r="A11" s="1">
        <v>43374</v>
      </c>
      <c r="B11">
        <v>343</v>
      </c>
      <c r="C11">
        <f t="shared" ca="1" si="0"/>
        <v>341.91830312477822</v>
      </c>
      <c r="D11">
        <f t="shared" ca="1" si="1"/>
        <v>82.824462001409103</v>
      </c>
      <c r="E11">
        <f t="shared" ca="1" si="2"/>
        <v>82</v>
      </c>
    </row>
    <row r="12" spans="1:8" x14ac:dyDescent="0.2">
      <c r="A12" s="1">
        <v>43405</v>
      </c>
      <c r="B12">
        <v>319</v>
      </c>
      <c r="C12">
        <f t="shared" ca="1" si="0"/>
        <v>317.79811458308694</v>
      </c>
      <c r="D12">
        <f t="shared" ca="1" si="1"/>
        <v>59.843122063078404</v>
      </c>
      <c r="E12">
        <f t="shared" ca="1" si="2"/>
        <v>59</v>
      </c>
    </row>
    <row r="13" spans="1:8" x14ac:dyDescent="0.2">
      <c r="A13" s="1">
        <v>43435</v>
      </c>
      <c r="B13">
        <v>304</v>
      </c>
      <c r="C13">
        <f t="shared" ca="1" si="0"/>
        <v>302.67792604139561</v>
      </c>
      <c r="D13">
        <f t="shared" ca="1" si="1"/>
        <v>39.903552991334209</v>
      </c>
      <c r="E13">
        <f t="shared" ca="1" si="2"/>
        <v>39</v>
      </c>
    </row>
    <row r="14" spans="1:8" x14ac:dyDescent="0.2">
      <c r="A14" s="1">
        <v>43466</v>
      </c>
      <c r="B14">
        <v>315</v>
      </c>
      <c r="C14">
        <f t="shared" ca="1" si="0"/>
        <v>313.55773749970433</v>
      </c>
      <c r="D14">
        <f t="shared" ca="1" si="1"/>
        <v>54.155323363672437</v>
      </c>
      <c r="E14">
        <f t="shared" ca="1" si="2"/>
        <v>54</v>
      </c>
    </row>
    <row r="15" spans="1:8" x14ac:dyDescent="0.2">
      <c r="A15" s="1">
        <v>43497</v>
      </c>
      <c r="B15">
        <v>318</v>
      </c>
      <c r="C15">
        <f t="shared" ca="1" si="0"/>
        <v>316.437548958013</v>
      </c>
      <c r="D15">
        <f t="shared" ca="1" si="1"/>
        <v>60.55410878472086</v>
      </c>
      <c r="E15">
        <f t="shared" ca="1" si="2"/>
        <v>60</v>
      </c>
    </row>
    <row r="16" spans="1:8" x14ac:dyDescent="0.2">
      <c r="A16" s="1">
        <v>43525</v>
      </c>
      <c r="B16">
        <v>370</v>
      </c>
      <c r="C16">
        <f t="shared" ca="1" si="0"/>
        <v>368.31736041632172</v>
      </c>
      <c r="D16">
        <f t="shared" ca="1" si="1"/>
        <v>127.46684638788523</v>
      </c>
      <c r="E16">
        <f t="shared" ca="1" si="2"/>
        <v>127</v>
      </c>
    </row>
    <row r="17" spans="1:5" x14ac:dyDescent="0.2">
      <c r="A17" s="1">
        <v>43556</v>
      </c>
      <c r="B17">
        <v>407</v>
      </c>
      <c r="C17">
        <f t="shared" ca="1" si="0"/>
        <v>405.19717187463038</v>
      </c>
      <c r="D17">
        <f t="shared" ca="1" si="1"/>
        <v>158.44579645514941</v>
      </c>
      <c r="E17">
        <f t="shared" ca="1" si="2"/>
        <v>158</v>
      </c>
    </row>
    <row r="18" spans="1:5" x14ac:dyDescent="0.2">
      <c r="A18" s="1">
        <v>43586</v>
      </c>
      <c r="B18">
        <v>457</v>
      </c>
      <c r="C18">
        <f t="shared" ca="1" si="0"/>
        <v>455.07698333293905</v>
      </c>
      <c r="D18">
        <f t="shared" ca="1" si="1"/>
        <v>223.22770647975207</v>
      </c>
      <c r="E18">
        <f t="shared" ca="1" si="2"/>
        <v>223</v>
      </c>
    </row>
    <row r="19" spans="1:5" x14ac:dyDescent="0.2">
      <c r="A19" s="1">
        <v>43617</v>
      </c>
      <c r="B19">
        <v>457</v>
      </c>
      <c r="C19">
        <f t="shared" ca="1" si="0"/>
        <v>454.95679479124777</v>
      </c>
      <c r="D19">
        <f t="shared" ca="1" si="1"/>
        <v>264.27522570719759</v>
      </c>
      <c r="E19">
        <f t="shared" ca="1" si="2"/>
        <v>264</v>
      </c>
    </row>
    <row r="20" spans="1:5" x14ac:dyDescent="0.2">
      <c r="A20" s="1">
        <v>43647</v>
      </c>
      <c r="B20">
        <v>440</v>
      </c>
      <c r="C20">
        <f t="shared" ca="1" si="0"/>
        <v>437.83660624955644</v>
      </c>
      <c r="D20">
        <f t="shared" ca="1" si="1"/>
        <v>195.85578348970944</v>
      </c>
      <c r="E20">
        <f t="shared" ca="1" si="2"/>
        <v>195</v>
      </c>
    </row>
    <row r="21" spans="1:5" x14ac:dyDescent="0.2">
      <c r="A21" s="1">
        <v>43678</v>
      </c>
      <c r="B21">
        <v>422</v>
      </c>
      <c r="C21">
        <f t="shared" ca="1" si="0"/>
        <v>419.71641770786516</v>
      </c>
      <c r="D21">
        <f t="shared" ca="1" si="1"/>
        <v>212.17312733810621</v>
      </c>
      <c r="E21">
        <f t="shared" ca="1" si="2"/>
        <v>212</v>
      </c>
    </row>
    <row r="22" spans="1:5" x14ac:dyDescent="0.2">
      <c r="A22" s="1">
        <v>43709</v>
      </c>
      <c r="B22">
        <v>373</v>
      </c>
      <c r="C22">
        <f t="shared" ca="1" si="0"/>
        <v>370.59622916617383</v>
      </c>
      <c r="D22">
        <f t="shared" ca="1" si="1"/>
        <v>117.63781721802151</v>
      </c>
      <c r="E22">
        <f t="shared" ca="1" si="2"/>
        <v>117</v>
      </c>
    </row>
    <row r="23" spans="1:5" x14ac:dyDescent="0.2">
      <c r="A23" s="1">
        <v>43739</v>
      </c>
      <c r="B23">
        <v>371</v>
      </c>
      <c r="C23">
        <f t="shared" ca="1" si="0"/>
        <v>368.47604062448255</v>
      </c>
      <c r="D23">
        <f t="shared" ca="1" si="1"/>
        <v>132.98613733388734</v>
      </c>
      <c r="E23">
        <f t="shared" ca="1" si="2"/>
        <v>132</v>
      </c>
    </row>
    <row r="24" spans="1:5" x14ac:dyDescent="0.2">
      <c r="A24" s="1">
        <v>43770</v>
      </c>
      <c r="B24">
        <v>336</v>
      </c>
      <c r="C24">
        <f t="shared" ca="1" si="0"/>
        <v>333.35585208279122</v>
      </c>
      <c r="D24">
        <f t="shared" ca="1" si="1"/>
        <v>74.867390546944961</v>
      </c>
      <c r="E24" t="e">
        <f t="shared" ca="1" si="2"/>
        <v>#N/A</v>
      </c>
    </row>
    <row r="25" spans="1:5" x14ac:dyDescent="0.2">
      <c r="A25" s="1">
        <v>43800</v>
      </c>
      <c r="B25">
        <v>322</v>
      </c>
      <c r="C25">
        <f t="shared" ca="1" si="0"/>
        <v>319.23566354109994</v>
      </c>
      <c r="D25">
        <f t="shared" ca="1" si="1"/>
        <v>62.56449307391081</v>
      </c>
      <c r="E25" t="e">
        <f t="shared" ca="1" si="2"/>
        <v>#N/A</v>
      </c>
    </row>
    <row r="26" spans="1:5" x14ac:dyDescent="0.2">
      <c r="A26" s="1">
        <v>43831</v>
      </c>
      <c r="B26">
        <v>296</v>
      </c>
      <c r="C26">
        <f t="shared" ca="1" si="0"/>
        <v>293.1154749994086</v>
      </c>
      <c r="D26">
        <f t="shared" ca="1" si="1"/>
        <v>24.430422251096925</v>
      </c>
      <c r="E26">
        <f t="shared" ca="1" si="2"/>
        <v>24</v>
      </c>
    </row>
    <row r="27" spans="1:5" x14ac:dyDescent="0.2">
      <c r="A27" s="1">
        <v>43862</v>
      </c>
      <c r="B27">
        <v>306</v>
      </c>
      <c r="C27">
        <f t="shared" ca="1" si="0"/>
        <v>302.99528645771733</v>
      </c>
      <c r="D27">
        <f t="shared" ca="1" si="1"/>
        <v>40.955009377613393</v>
      </c>
      <c r="E27">
        <f t="shared" ca="1" si="2"/>
        <v>40</v>
      </c>
    </row>
    <row r="28" spans="1:5" x14ac:dyDescent="0.2">
      <c r="A28" s="1">
        <v>43891</v>
      </c>
      <c r="B28">
        <v>316</v>
      </c>
      <c r="C28">
        <f t="shared" ca="1" si="0"/>
        <v>312.87509791602599</v>
      </c>
      <c r="D28">
        <f t="shared" ca="1" si="1"/>
        <v>54.519347643855809</v>
      </c>
      <c r="E28">
        <f t="shared" ca="1" si="2"/>
        <v>54</v>
      </c>
    </row>
    <row r="29" spans="1:5" x14ac:dyDescent="0.2">
      <c r="A29" s="1">
        <v>43922</v>
      </c>
      <c r="B29">
        <v>339</v>
      </c>
      <c r="C29">
        <f t="shared" ca="1" si="0"/>
        <v>335.75490937433472</v>
      </c>
      <c r="D29">
        <f t="shared" ca="1" si="1"/>
        <v>88.045835043845088</v>
      </c>
      <c r="E29">
        <f t="shared" ca="1" si="2"/>
        <v>88</v>
      </c>
    </row>
    <row r="30" spans="1:5" x14ac:dyDescent="0.2">
      <c r="A30" s="1">
        <v>43952</v>
      </c>
      <c r="B30">
        <v>322</v>
      </c>
      <c r="C30">
        <f t="shared" ca="1" si="0"/>
        <v>318.63472083264338</v>
      </c>
      <c r="D30">
        <f t="shared" ca="1" si="1"/>
        <v>64.544671355753252</v>
      </c>
      <c r="E30">
        <f t="shared" ca="1" si="2"/>
        <v>64</v>
      </c>
    </row>
    <row r="31" spans="1:5" x14ac:dyDescent="0.2">
      <c r="A31" s="1">
        <v>43983</v>
      </c>
      <c r="B31">
        <v>297</v>
      </c>
      <c r="C31">
        <f t="shared" ca="1" si="0"/>
        <v>293.51453229095205</v>
      </c>
      <c r="D31">
        <f t="shared" ca="1" si="1"/>
        <v>26.805722404702063</v>
      </c>
      <c r="E31">
        <f t="shared" ca="1" si="2"/>
        <v>26</v>
      </c>
    </row>
    <row r="32" spans="1:5" x14ac:dyDescent="0.2">
      <c r="A32" s="1">
        <v>44013</v>
      </c>
      <c r="B32">
        <v>321</v>
      </c>
      <c r="C32">
        <f t="shared" ca="1" si="0"/>
        <v>317.39434374926077</v>
      </c>
      <c r="D32">
        <f t="shared" ca="1" si="1"/>
        <v>63.600824869976563</v>
      </c>
      <c r="E32">
        <f t="shared" ca="1" si="2"/>
        <v>63</v>
      </c>
    </row>
    <row r="33" spans="1:5" x14ac:dyDescent="0.2">
      <c r="A33" s="1">
        <v>44044</v>
      </c>
      <c r="B33">
        <v>379</v>
      </c>
      <c r="C33">
        <f t="shared" ca="1" si="0"/>
        <v>375.27415520756944</v>
      </c>
      <c r="D33">
        <f t="shared" ca="1" si="1"/>
        <v>145.18849052259236</v>
      </c>
      <c r="E33" t="e">
        <f t="shared" ca="1" si="2"/>
        <v>#N/A</v>
      </c>
    </row>
    <row r="34" spans="1:5" x14ac:dyDescent="0.2">
      <c r="A34" s="1">
        <v>44075</v>
      </c>
      <c r="B34">
        <v>357</v>
      </c>
      <c r="C34">
        <f t="shared" ref="C34:C65" ca="1" si="3">$B34+(ROW()-ROW($B$2))*$G$1*5</f>
        <v>353.15396666587816</v>
      </c>
      <c r="D34">
        <f t="shared" ca="1" si="1"/>
        <v>107.52314051355205</v>
      </c>
      <c r="E34">
        <f t="shared" ca="1" si="2"/>
        <v>107</v>
      </c>
    </row>
    <row r="35" spans="1:5" x14ac:dyDescent="0.2">
      <c r="A35" s="1">
        <v>44105</v>
      </c>
      <c r="B35">
        <v>344</v>
      </c>
      <c r="C35">
        <f t="shared" ca="1" si="3"/>
        <v>340.03377812418682</v>
      </c>
      <c r="D35">
        <f t="shared" ca="1" si="1"/>
        <v>81.982664310327408</v>
      </c>
      <c r="E35">
        <f t="shared" ca="1" si="2"/>
        <v>81</v>
      </c>
    </row>
    <row r="36" spans="1:5" x14ac:dyDescent="0.2">
      <c r="A36" s="1">
        <v>44136</v>
      </c>
      <c r="B36">
        <v>316</v>
      </c>
      <c r="C36">
        <f t="shared" ca="1" si="3"/>
        <v>311.91358958249555</v>
      </c>
      <c r="D36">
        <f t="shared" ca="1" si="1"/>
        <v>45.035034083825003</v>
      </c>
      <c r="E36">
        <f t="shared" ca="1" si="2"/>
        <v>45</v>
      </c>
    </row>
    <row r="37" spans="1:5" x14ac:dyDescent="0.2">
      <c r="A37" s="1">
        <v>44166</v>
      </c>
      <c r="B37">
        <v>298</v>
      </c>
      <c r="C37">
        <f t="shared" ca="1" si="3"/>
        <v>293.79340104080421</v>
      </c>
      <c r="D37">
        <f t="shared" ca="1" si="1"/>
        <v>26.670473252682548</v>
      </c>
      <c r="E37" t="e">
        <f t="shared" ca="1" si="2"/>
        <v>#N/A</v>
      </c>
    </row>
    <row r="38" spans="1:5" x14ac:dyDescent="0.2">
      <c r="A38" s="1">
        <v>44197</v>
      </c>
      <c r="B38">
        <v>310</v>
      </c>
      <c r="C38">
        <f t="shared" ca="1" si="3"/>
        <v>305.67321249911294</v>
      </c>
      <c r="D38">
        <f t="shared" ca="1" si="1"/>
        <v>41.700727666273991</v>
      </c>
      <c r="E38">
        <f t="shared" ca="1" si="2"/>
        <v>41</v>
      </c>
    </row>
    <row r="39" spans="1:5" x14ac:dyDescent="0.2">
      <c r="A39" s="1">
        <v>44228</v>
      </c>
      <c r="B39">
        <v>314</v>
      </c>
      <c r="C39">
        <f t="shared" ca="1" si="3"/>
        <v>309.5530239574216</v>
      </c>
      <c r="D39">
        <f t="shared" ca="1" si="1"/>
        <v>43.399648673125348</v>
      </c>
      <c r="E39">
        <f t="shared" ca="1" si="2"/>
        <v>43</v>
      </c>
    </row>
    <row r="40" spans="1:5" x14ac:dyDescent="0.2">
      <c r="A40" s="1">
        <v>44256</v>
      </c>
      <c r="B40">
        <v>349</v>
      </c>
      <c r="C40">
        <f t="shared" ca="1" si="3"/>
        <v>344.43283541573032</v>
      </c>
      <c r="D40">
        <f t="shared" ca="1" si="1"/>
        <v>94.794436993958143</v>
      </c>
      <c r="E40">
        <f t="shared" ca="1" si="2"/>
        <v>94</v>
      </c>
    </row>
    <row r="41" spans="1:5" x14ac:dyDescent="0.2">
      <c r="A41" s="1">
        <v>44287</v>
      </c>
      <c r="B41">
        <v>398</v>
      </c>
      <c r="C41">
        <f t="shared" ca="1" si="3"/>
        <v>393.31264687403899</v>
      </c>
      <c r="D41">
        <f t="shared" ca="1" si="1"/>
        <v>175.46769193296754</v>
      </c>
      <c r="E41">
        <f t="shared" ca="1" si="2"/>
        <v>175</v>
      </c>
    </row>
    <row r="42" spans="1:5" x14ac:dyDescent="0.2">
      <c r="A42" s="1">
        <v>44317</v>
      </c>
      <c r="B42">
        <v>426</v>
      </c>
      <c r="C42">
        <f t="shared" ca="1" si="3"/>
        <v>421.19245833234771</v>
      </c>
      <c r="D42">
        <f t="shared" ca="1" si="1"/>
        <v>205.99672386449618</v>
      </c>
      <c r="E42" t="e">
        <f t="shared" ca="1" si="2"/>
        <v>#N/A</v>
      </c>
    </row>
    <row r="43" spans="1:5" x14ac:dyDescent="0.2">
      <c r="A43" s="1">
        <v>44348</v>
      </c>
      <c r="B43">
        <v>432</v>
      </c>
      <c r="C43">
        <f t="shared" ca="1" si="3"/>
        <v>427.07226979065638</v>
      </c>
      <c r="D43">
        <f t="shared" ca="1" si="1"/>
        <v>217.33752012641597</v>
      </c>
      <c r="E43">
        <f t="shared" ca="1" si="2"/>
        <v>217</v>
      </c>
    </row>
    <row r="44" spans="1:5" x14ac:dyDescent="0.2">
      <c r="A44" s="1">
        <v>44378</v>
      </c>
      <c r="B44">
        <v>423</v>
      </c>
      <c r="C44">
        <f t="shared" ca="1" si="3"/>
        <v>417.9520812489651</v>
      </c>
      <c r="D44">
        <f t="shared" ca="1" si="1"/>
        <v>212.01271529354455</v>
      </c>
      <c r="E44">
        <f t="shared" ca="1" si="2"/>
        <v>212</v>
      </c>
    </row>
    <row r="45" spans="1:5" x14ac:dyDescent="0.2">
      <c r="A45" s="1">
        <v>44409</v>
      </c>
      <c r="B45">
        <v>407</v>
      </c>
      <c r="C45">
        <f t="shared" ca="1" si="3"/>
        <v>401.83189270727377</v>
      </c>
      <c r="D45">
        <f t="shared" ca="1" si="1"/>
        <v>160.99940134195816</v>
      </c>
      <c r="E45">
        <f t="shared" ca="1" si="2"/>
        <v>160</v>
      </c>
    </row>
    <row r="46" spans="1:5" x14ac:dyDescent="0.2">
      <c r="A46" s="1">
        <v>44440</v>
      </c>
      <c r="B46">
        <v>379</v>
      </c>
      <c r="C46">
        <f t="shared" ca="1" si="3"/>
        <v>373.71170416558243</v>
      </c>
      <c r="D46">
        <f t="shared" ca="1" si="1"/>
        <v>147.58589363847889</v>
      </c>
      <c r="E46">
        <f t="shared" ca="1" si="2"/>
        <v>147</v>
      </c>
    </row>
    <row r="47" spans="1:5" x14ac:dyDescent="0.2">
      <c r="A47" s="1">
        <v>44470</v>
      </c>
      <c r="B47">
        <v>349</v>
      </c>
      <c r="C47">
        <f t="shared" ca="1" si="3"/>
        <v>343.59151562389115</v>
      </c>
      <c r="D47">
        <f t="shared" ca="1" si="1"/>
        <v>102.71334142066887</v>
      </c>
      <c r="E47">
        <f t="shared" ca="1" si="2"/>
        <v>102</v>
      </c>
    </row>
    <row r="48" spans="1:5" x14ac:dyDescent="0.2">
      <c r="A48" s="1">
        <v>44501</v>
      </c>
      <c r="B48">
        <v>335</v>
      </c>
      <c r="C48">
        <f t="shared" ca="1" si="3"/>
        <v>329.47132708219982</v>
      </c>
      <c r="D48">
        <f t="shared" ca="1" si="1"/>
        <v>65.601022890441797</v>
      </c>
      <c r="E48">
        <f t="shared" ca="1" si="2"/>
        <v>65</v>
      </c>
    </row>
    <row r="49" spans="1:5" x14ac:dyDescent="0.2">
      <c r="A49" s="1">
        <v>44531</v>
      </c>
      <c r="B49">
        <v>324</v>
      </c>
      <c r="C49">
        <f t="shared" ca="1" si="3"/>
        <v>318.35113854050854</v>
      </c>
      <c r="D49">
        <f t="shared" ca="1" si="1"/>
        <v>55.692350813241184</v>
      </c>
      <c r="E49">
        <f t="shared" ca="1" si="2"/>
        <v>55</v>
      </c>
    </row>
    <row r="50" spans="1:5" x14ac:dyDescent="0.2">
      <c r="A50" s="1">
        <v>44562</v>
      </c>
      <c r="B50">
        <v>315</v>
      </c>
      <c r="C50">
        <f t="shared" ca="1" si="3"/>
        <v>309.23094999881721</v>
      </c>
      <c r="D50">
        <f t="shared" ca="1" si="1"/>
        <v>50.277271667160399</v>
      </c>
      <c r="E50" t="e">
        <f t="shared" ca="1" si="2"/>
        <v>#N/A</v>
      </c>
    </row>
    <row r="51" spans="1:5" x14ac:dyDescent="0.2">
      <c r="A51" s="1">
        <v>44593</v>
      </c>
      <c r="B51">
        <v>309</v>
      </c>
      <c r="C51">
        <f t="shared" ca="1" si="3"/>
        <v>303.11076145712593</v>
      </c>
      <c r="D51">
        <f t="shared" ca="1" si="1"/>
        <v>37.080746614489939</v>
      </c>
      <c r="E51">
        <f t="shared" ca="1" si="2"/>
        <v>37</v>
      </c>
    </row>
    <row r="52" spans="1:5" x14ac:dyDescent="0.2">
      <c r="A52" s="1">
        <v>44621</v>
      </c>
      <c r="B52">
        <v>337</v>
      </c>
      <c r="C52">
        <f t="shared" ca="1" si="3"/>
        <v>330.9905729154346</v>
      </c>
      <c r="D52">
        <f t="shared" ca="1" si="1"/>
        <v>73.841167591865513</v>
      </c>
      <c r="E52">
        <f t="shared" ca="1" si="2"/>
        <v>73</v>
      </c>
    </row>
    <row r="53" spans="1:5" x14ac:dyDescent="0.2">
      <c r="A53" s="1">
        <v>44652</v>
      </c>
      <c r="B53">
        <v>376</v>
      </c>
      <c r="C53">
        <f t="shared" ca="1" si="3"/>
        <v>369.87038437374332</v>
      </c>
      <c r="D53">
        <f t="shared" ca="1" si="1"/>
        <v>140.02385898138417</v>
      </c>
      <c r="E53">
        <f t="shared" ca="1" si="2"/>
        <v>140</v>
      </c>
    </row>
    <row r="54" spans="1:5" x14ac:dyDescent="0.2">
      <c r="A54" s="1">
        <v>44682</v>
      </c>
      <c r="B54">
        <v>428</v>
      </c>
      <c r="C54">
        <f t="shared" ca="1" si="3"/>
        <v>421.75019583205199</v>
      </c>
      <c r="D54">
        <f t="shared" ca="1" si="1"/>
        <v>210.07120202725102</v>
      </c>
      <c r="E54" t="e">
        <f t="shared" ca="1" si="2"/>
        <v>#N/A</v>
      </c>
    </row>
    <row r="55" spans="1:5" x14ac:dyDescent="0.2">
      <c r="A55" s="1">
        <v>44713</v>
      </c>
      <c r="B55">
        <v>396</v>
      </c>
      <c r="C55">
        <f t="shared" ca="1" si="3"/>
        <v>389.63000729036071</v>
      </c>
      <c r="D55">
        <f t="shared" ca="1" si="1"/>
        <v>142.53375766474295</v>
      </c>
      <c r="E55">
        <f t="shared" ca="1" si="2"/>
        <v>142</v>
      </c>
    </row>
    <row r="56" spans="1:5" x14ac:dyDescent="0.2">
      <c r="A56" s="1">
        <v>44743</v>
      </c>
      <c r="B56">
        <v>417</v>
      </c>
      <c r="C56">
        <f t="shared" ca="1" si="3"/>
        <v>410.50981874866937</v>
      </c>
      <c r="D56">
        <f t="shared" ca="1" si="1"/>
        <v>166.65104089407473</v>
      </c>
      <c r="E56">
        <f t="shared" ca="1" si="2"/>
        <v>166</v>
      </c>
    </row>
    <row r="57" spans="1:5" x14ac:dyDescent="0.2">
      <c r="A57" s="1">
        <v>44774</v>
      </c>
      <c r="B57">
        <v>412</v>
      </c>
      <c r="C57">
        <f t="shared" ca="1" si="3"/>
        <v>405.3896302069781</v>
      </c>
      <c r="D57">
        <f t="shared" ca="1" si="1"/>
        <v>189.78638166145919</v>
      </c>
      <c r="E57">
        <f t="shared" ca="1" si="2"/>
        <v>189</v>
      </c>
    </row>
    <row r="58" spans="1:5" x14ac:dyDescent="0.2">
      <c r="A58" s="1">
        <v>44805</v>
      </c>
      <c r="B58">
        <v>407</v>
      </c>
      <c r="C58">
        <f t="shared" ca="1" si="3"/>
        <v>400.26944166528676</v>
      </c>
      <c r="D58">
        <f t="shared" ca="1" si="1"/>
        <v>182.5235636963786</v>
      </c>
      <c r="E58">
        <f t="shared" ca="1" si="2"/>
        <v>182</v>
      </c>
    </row>
    <row r="59" spans="1:5" x14ac:dyDescent="0.2">
      <c r="A59" s="1">
        <v>44835</v>
      </c>
      <c r="B59">
        <v>368</v>
      </c>
      <c r="C59">
        <f t="shared" ca="1" si="3"/>
        <v>361.14925312359549</v>
      </c>
      <c r="D59">
        <f t="shared" ca="1" si="1"/>
        <v>109.20002088247644</v>
      </c>
      <c r="E59" t="e">
        <f t="shared" ca="1" si="2"/>
        <v>#N/A</v>
      </c>
    </row>
    <row r="60" spans="1:5" x14ac:dyDescent="0.2">
      <c r="A60" s="1">
        <v>44866</v>
      </c>
      <c r="B60">
        <v>332</v>
      </c>
      <c r="C60">
        <f t="shared" ca="1" si="3"/>
        <v>325.02906458190415</v>
      </c>
      <c r="D60">
        <f t="shared" ca="1" si="1"/>
        <v>68.957184535307093</v>
      </c>
      <c r="E60">
        <f t="shared" ca="1" si="2"/>
        <v>68</v>
      </c>
    </row>
    <row r="61" spans="1:5" x14ac:dyDescent="0.2">
      <c r="A61" s="1">
        <v>44896</v>
      </c>
      <c r="B61">
        <v>318</v>
      </c>
      <c r="C61">
        <f t="shared" ca="1" si="3"/>
        <v>310.90887604021282</v>
      </c>
      <c r="D61">
        <f t="shared" ca="1" si="1"/>
        <v>44.038285044592278</v>
      </c>
      <c r="E61">
        <f t="shared" ca="1" si="2"/>
        <v>44</v>
      </c>
    </row>
    <row r="62" spans="1:5" x14ac:dyDescent="0.2">
      <c r="A62" s="1">
        <v>44927</v>
      </c>
      <c r="B62">
        <v>327</v>
      </c>
      <c r="C62">
        <f t="shared" ca="1" si="3"/>
        <v>319.78868749852154</v>
      </c>
      <c r="D62">
        <f t="shared" ca="1" si="1"/>
        <v>59.33456502323547</v>
      </c>
      <c r="E62">
        <f t="shared" ca="1" si="2"/>
        <v>59</v>
      </c>
    </row>
    <row r="63" spans="1:5" x14ac:dyDescent="0.2">
      <c r="A63" s="1">
        <v>44958</v>
      </c>
      <c r="B63">
        <v>331</v>
      </c>
      <c r="C63">
        <f t="shared" ca="1" si="3"/>
        <v>323.66849895683021</v>
      </c>
      <c r="D63">
        <f t="shared" ca="1" si="1"/>
        <v>72.384448713972731</v>
      </c>
      <c r="E63">
        <f t="shared" ca="1" si="2"/>
        <v>72</v>
      </c>
    </row>
    <row r="64" spans="1:5" x14ac:dyDescent="0.2">
      <c r="A64" s="1">
        <v>44986</v>
      </c>
      <c r="B64">
        <v>369</v>
      </c>
      <c r="C64">
        <f t="shared" ca="1" si="3"/>
        <v>361.54831041513893</v>
      </c>
      <c r="D64">
        <f t="shared" ca="1" si="1"/>
        <v>116.56727072569822</v>
      </c>
      <c r="E64">
        <f t="shared" ca="1" si="2"/>
        <v>116</v>
      </c>
    </row>
    <row r="65" spans="1:5" x14ac:dyDescent="0.2">
      <c r="A65" s="1">
        <v>45017</v>
      </c>
      <c r="B65">
        <v>415</v>
      </c>
      <c r="C65">
        <f t="shared" ca="1" si="3"/>
        <v>407.42812187344759</v>
      </c>
      <c r="D65">
        <f t="shared" ca="1" si="1"/>
        <v>189.76441040371512</v>
      </c>
      <c r="E65">
        <f t="shared" ca="1" si="2"/>
        <v>189</v>
      </c>
    </row>
    <row r="66" spans="1:5" x14ac:dyDescent="0.2">
      <c r="A66" s="1">
        <v>45047</v>
      </c>
      <c r="B66">
        <v>453</v>
      </c>
      <c r="C66">
        <f t="shared" ref="C66:C85" ca="1" si="4">$B66+(ROW()-ROW($B$2))*$G$1*5</f>
        <v>445.30793333175632</v>
      </c>
      <c r="D66">
        <f t="shared" ca="1" si="1"/>
        <v>248.64715837117362</v>
      </c>
      <c r="E66">
        <f t="shared" ca="1" si="2"/>
        <v>248</v>
      </c>
    </row>
    <row r="67" spans="1:5" x14ac:dyDescent="0.2">
      <c r="A67" s="1">
        <v>45078</v>
      </c>
      <c r="B67">
        <v>469</v>
      </c>
      <c r="C67">
        <f t="shared" ca="1" si="4"/>
        <v>461.18774479006498</v>
      </c>
      <c r="D67">
        <f t="shared" ref="D67:D85" ca="1" si="5">$G$1+(C67-0.75*$G$2)*(1.2+RAND()*0.3)</f>
        <v>270.01930913967573</v>
      </c>
      <c r="E67">
        <f t="shared" ref="E67:E85" ca="1" si="6">MAX(_xlfn.FLOOR.MATH(IF(RAND()&lt;0.1,NA(),D67)),0)</f>
        <v>270</v>
      </c>
    </row>
    <row r="68" spans="1:5" x14ac:dyDescent="0.2">
      <c r="A68" s="1">
        <v>45108</v>
      </c>
      <c r="B68">
        <v>448</v>
      </c>
      <c r="C68">
        <f t="shared" ca="1" si="4"/>
        <v>440.06755624837371</v>
      </c>
      <c r="D68">
        <f t="shared" ca="1" si="5"/>
        <v>204.44382994216375</v>
      </c>
      <c r="E68">
        <f t="shared" ca="1" si="6"/>
        <v>204</v>
      </c>
    </row>
    <row r="69" spans="1:5" x14ac:dyDescent="0.2">
      <c r="A69" s="1">
        <v>45139</v>
      </c>
      <c r="B69">
        <v>429</v>
      </c>
      <c r="C69">
        <f t="shared" ca="1" si="4"/>
        <v>420.94736770668237</v>
      </c>
      <c r="D69">
        <f t="shared" ca="1" si="5"/>
        <v>204.70498518081681</v>
      </c>
      <c r="E69">
        <f t="shared" ca="1" si="6"/>
        <v>204</v>
      </c>
    </row>
    <row r="70" spans="1:5" x14ac:dyDescent="0.2">
      <c r="A70" s="1">
        <v>45170</v>
      </c>
      <c r="B70">
        <v>405</v>
      </c>
      <c r="C70">
        <f t="shared" ca="1" si="4"/>
        <v>396.82717916499109</v>
      </c>
      <c r="D70">
        <f t="shared" ca="1" si="5"/>
        <v>174.39722020980108</v>
      </c>
      <c r="E70">
        <f t="shared" ca="1" si="6"/>
        <v>174</v>
      </c>
    </row>
    <row r="71" spans="1:5" x14ac:dyDescent="0.2">
      <c r="A71" s="1">
        <v>45200</v>
      </c>
      <c r="B71">
        <v>378</v>
      </c>
      <c r="C71">
        <f t="shared" ca="1" si="4"/>
        <v>369.70699062329976</v>
      </c>
      <c r="D71">
        <f t="shared" ca="1" si="5"/>
        <v>126.65747301878632</v>
      </c>
      <c r="E71">
        <f t="shared" ca="1" si="6"/>
        <v>126</v>
      </c>
    </row>
    <row r="72" spans="1:5" x14ac:dyDescent="0.2">
      <c r="A72" s="1">
        <v>45231</v>
      </c>
      <c r="B72">
        <v>343</v>
      </c>
      <c r="C72">
        <f t="shared" ca="1" si="4"/>
        <v>334.58680208160848</v>
      </c>
      <c r="D72">
        <f t="shared" ca="1" si="5"/>
        <v>82.810523605270802</v>
      </c>
      <c r="E72">
        <f t="shared" ca="1" si="6"/>
        <v>82</v>
      </c>
    </row>
    <row r="73" spans="1:5" x14ac:dyDescent="0.2">
      <c r="A73" s="1">
        <v>45261</v>
      </c>
      <c r="B73">
        <v>330</v>
      </c>
      <c r="C73">
        <f t="shared" ca="1" si="4"/>
        <v>321.46661353991715</v>
      </c>
      <c r="D73">
        <f t="shared" ca="1" si="5"/>
        <v>64.35031008385765</v>
      </c>
      <c r="E73">
        <f t="shared" ca="1" si="6"/>
        <v>64</v>
      </c>
    </row>
    <row r="74" spans="1:5" x14ac:dyDescent="0.2">
      <c r="A74" s="1">
        <v>45292</v>
      </c>
      <c r="B74">
        <v>327</v>
      </c>
      <c r="C74">
        <f t="shared" ca="1" si="4"/>
        <v>318.34642499822587</v>
      </c>
      <c r="D74">
        <f t="shared" ca="1" si="5"/>
        <v>57.360898996275701</v>
      </c>
      <c r="E74">
        <f t="shared" ca="1" si="6"/>
        <v>57</v>
      </c>
    </row>
    <row r="75" spans="1:5" x14ac:dyDescent="0.2">
      <c r="A75" s="1">
        <v>45323</v>
      </c>
      <c r="B75">
        <v>293</v>
      </c>
      <c r="C75">
        <f t="shared" ca="1" si="4"/>
        <v>284.22623645653454</v>
      </c>
      <c r="D75">
        <f t="shared" ca="1" si="5"/>
        <v>12.363552677285433</v>
      </c>
      <c r="E75">
        <f t="shared" ca="1" si="6"/>
        <v>12</v>
      </c>
    </row>
    <row r="76" spans="1:5" x14ac:dyDescent="0.2">
      <c r="A76" s="1">
        <v>45352</v>
      </c>
      <c r="B76">
        <v>320</v>
      </c>
      <c r="C76">
        <f t="shared" ca="1" si="4"/>
        <v>311.1060479148432</v>
      </c>
      <c r="D76">
        <f t="shared" ca="1" si="5"/>
        <v>46.02696130856252</v>
      </c>
      <c r="E76">
        <f t="shared" ca="1" si="6"/>
        <v>46</v>
      </c>
    </row>
    <row r="77" spans="1:5" x14ac:dyDescent="0.2">
      <c r="A77" s="1">
        <v>45383</v>
      </c>
      <c r="B77">
        <v>340</v>
      </c>
      <c r="C77">
        <f t="shared" ca="1" si="4"/>
        <v>330.98585937315192</v>
      </c>
      <c r="D77">
        <f t="shared" ca="1" si="5"/>
        <v>67.925611744286527</v>
      </c>
      <c r="E77">
        <f t="shared" ca="1" si="6"/>
        <v>67</v>
      </c>
    </row>
    <row r="78" spans="1:5" x14ac:dyDescent="0.2">
      <c r="A78" s="1">
        <v>45413</v>
      </c>
      <c r="B78">
        <v>301</v>
      </c>
      <c r="C78">
        <f t="shared" ca="1" si="4"/>
        <v>291.86567083146059</v>
      </c>
      <c r="D78">
        <f t="shared" ca="1" si="5"/>
        <v>23.613335746519919</v>
      </c>
      <c r="E78">
        <f t="shared" ca="1" si="6"/>
        <v>23</v>
      </c>
    </row>
    <row r="79" spans="1:5" x14ac:dyDescent="0.2">
      <c r="A79" s="1">
        <v>45444</v>
      </c>
      <c r="B79">
        <v>381</v>
      </c>
      <c r="C79">
        <f t="shared" ca="1" si="4"/>
        <v>371.74548228976931</v>
      </c>
      <c r="D79">
        <f t="shared" ca="1" si="5"/>
        <v>134.05823838750001</v>
      </c>
      <c r="E79">
        <f t="shared" ca="1" si="6"/>
        <v>134</v>
      </c>
    </row>
    <row r="80" spans="1:5" x14ac:dyDescent="0.2">
      <c r="A80" s="1">
        <v>45474</v>
      </c>
      <c r="B80">
        <v>499</v>
      </c>
      <c r="C80">
        <f t="shared" ca="1" si="4"/>
        <v>489.62529374807798</v>
      </c>
      <c r="D80">
        <f t="shared" ca="1" si="5"/>
        <v>311.51532247997596</v>
      </c>
      <c r="E80">
        <f t="shared" ca="1" si="6"/>
        <v>311</v>
      </c>
    </row>
    <row r="81" spans="1:5" x14ac:dyDescent="0.2">
      <c r="A81" s="1">
        <v>45505</v>
      </c>
      <c r="B81">
        <v>449</v>
      </c>
      <c r="C81">
        <f t="shared" ca="1" si="4"/>
        <v>439.5051052063867</v>
      </c>
      <c r="D81">
        <f t="shared" ca="1" si="5"/>
        <v>217.11598105361978</v>
      </c>
      <c r="E81">
        <f t="shared" ca="1" si="6"/>
        <v>217</v>
      </c>
    </row>
    <row r="82" spans="1:5" x14ac:dyDescent="0.2">
      <c r="A82" s="1">
        <v>45536</v>
      </c>
      <c r="B82">
        <v>435</v>
      </c>
      <c r="C82">
        <f t="shared" ca="1" si="4"/>
        <v>425.38491666469537</v>
      </c>
      <c r="D82">
        <f t="shared" ca="1" si="5"/>
        <v>218.22223010156711</v>
      </c>
      <c r="E82">
        <f t="shared" ca="1" si="6"/>
        <v>218</v>
      </c>
    </row>
    <row r="83" spans="1:5" x14ac:dyDescent="0.2">
      <c r="A83" s="1">
        <v>45566</v>
      </c>
      <c r="B83">
        <v>391</v>
      </c>
      <c r="C83">
        <f t="shared" ca="1" si="4"/>
        <v>381.26472812300409</v>
      </c>
      <c r="D83">
        <f t="shared" ca="1" si="5"/>
        <v>136.17779669235938</v>
      </c>
      <c r="E83">
        <f t="shared" ca="1" si="6"/>
        <v>136</v>
      </c>
    </row>
    <row r="84" spans="1:5" x14ac:dyDescent="0.2">
      <c r="A84" s="1">
        <v>45597</v>
      </c>
      <c r="B84">
        <v>343</v>
      </c>
      <c r="C84">
        <f t="shared" ca="1" si="4"/>
        <v>333.14453958131276</v>
      </c>
      <c r="D84">
        <f t="shared" ca="1" si="5"/>
        <v>78.733910493436809</v>
      </c>
      <c r="E84">
        <f t="shared" ca="1" si="6"/>
        <v>78</v>
      </c>
    </row>
    <row r="85" spans="1:5" x14ac:dyDescent="0.2">
      <c r="A85" s="1">
        <v>45627</v>
      </c>
      <c r="B85">
        <v>346</v>
      </c>
      <c r="C85">
        <f t="shared" ca="1" si="4"/>
        <v>336.02435103962148</v>
      </c>
      <c r="D85">
        <f t="shared" ca="1" si="5"/>
        <v>81.375822265231449</v>
      </c>
      <c r="E85">
        <f t="shared" ca="1" si="6"/>
        <v>81</v>
      </c>
    </row>
  </sheetData>
  <pageMargins left="0.75" right="0.75" top="1" bottom="1" header="0.5" footer="0.5"/>
  <headerFooter>
    <oddFooter>&amp;L_x000D_&amp;1#&amp;"Aptos"&amp;10&amp;K000000 Document classification: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590B-0566-480F-8AE1-FFEC9BFE306A}">
  <dimension ref="A1"/>
  <sheetViews>
    <sheetView workbookViewId="0">
      <selection activeCell="F37" sqref="F37"/>
    </sheetView>
  </sheetViews>
  <sheetFormatPr defaultColWidth="8.875" defaultRowHeight="15" x14ac:dyDescent="0.2"/>
  <sheetData/>
  <pageMargins left="0.7" right="0.7" top="0.75" bottom="0.75" header="0.3" footer="0.3"/>
  <headerFooter>
    <oddFooter>&amp;L_x000D_&amp;1#&amp;"Aptos"&amp;10&amp;K000000 Document classification: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FCB4B7BEC7A4AA354F0998F02BE92" ma:contentTypeVersion="24" ma:contentTypeDescription="Create a new document." ma:contentTypeScope="" ma:versionID="329b8d7b2b4fb8ea52bf35bf1eb21dd1">
  <xsd:schema xmlns:xsd="http://www.w3.org/2001/XMLSchema" xmlns:xs="http://www.w3.org/2001/XMLSchema" xmlns:p="http://schemas.microsoft.com/office/2006/metadata/properties" xmlns:ns2="551f161d-2bd8-42d9-9cf6-a50839027370" xmlns:ns3="9a646fd7-7371-445a-b1bf-d2c0d1861e1c" xmlns:ns4="96d43ff4-439c-48c4-90ea-91ab791edce3" targetNamespace="http://schemas.microsoft.com/office/2006/metadata/properties" ma:root="true" ma:fieldsID="8027e06fc9b86168c05b90dceec60592" ns2:_="" ns3:_="" ns4:_="">
    <xsd:import namespace="551f161d-2bd8-42d9-9cf6-a50839027370"/>
    <xsd:import namespace="9a646fd7-7371-445a-b1bf-d2c0d1861e1c"/>
    <xsd:import namespace="96d43ff4-439c-48c4-90ea-91ab791edc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f161d-2bd8-42d9-9cf6-a508390273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5e5bc10-9866-49dc-a6aa-e0bb4ae8a1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46fd7-7371-445a-b1bf-d2c0d1861e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43ff4-439c-48c4-90ea-91ab791edce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7fd0cd0-2f59-4ad1-8581-b4f966b46439}" ma:internalName="TaxCatchAll" ma:showField="CatchAllData" ma:web="9a646fd7-7371-445a-b1bf-d2c0d1861e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d43ff4-439c-48c4-90ea-91ab791edce3" xsi:nil="true"/>
    <lcf76f155ced4ddcb4097134ff3c332f xmlns="551f161d-2bd8-42d9-9cf6-a508390273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F1DC17-4774-4478-A845-571D0817023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51f161d-2bd8-42d9-9cf6-a50839027370"/>
    <ds:schemaRef ds:uri="9a646fd7-7371-445a-b1bf-d2c0d1861e1c"/>
    <ds:schemaRef ds:uri="96d43ff4-439c-48c4-90ea-91ab791edce3"/>
  </ds:schemaRefs>
</ds:datastoreItem>
</file>

<file path=customXml/itemProps2.xml><?xml version="1.0" encoding="utf-8"?>
<ds:datastoreItem xmlns:ds="http://schemas.openxmlformats.org/officeDocument/2006/customXml" ds:itemID="{C96CD798-3EBB-4DEF-AB6B-E94EBE8C95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886AF4-671F-43AF-9549-AAC489141986}">
  <ds:schemaRefs>
    <ds:schemaRef ds:uri="http://schemas.microsoft.com/office/2006/metadata/properties"/>
    <ds:schemaRef ds:uri="http://www.w3.org/2000/xmlns/"/>
    <ds:schemaRef ds:uri="96d43ff4-439c-48c4-90ea-91ab791edce3"/>
    <ds:schemaRef ds:uri="http://www.w3.org/2001/XMLSchema-instance"/>
    <ds:schemaRef ds:uri="551f161d-2bd8-42d9-9cf6-a50839027370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Stephen Bradshaw</cp:lastModifiedBy>
  <cp:revision/>
  <dcterms:created xsi:type="dcterms:W3CDTF">2025-02-13T00:28:38Z</dcterms:created>
  <dcterms:modified xsi:type="dcterms:W3CDTF">2026-01-06T13:22:39Z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0x010100249FCB4B7BEC7A4AA354F0998F02BE92</vt:lpwstr>
  </property>
  <property fmtid="{D5CDD505-2E9C-101B-9397-08002B2CF9AE}" pid="3" name="MediaServiceImageTags">
    <vt:lpwstr/>
  </property>
  <property fmtid="{D5CDD505-2E9C-101B-9397-08002B2CF9AE}" pid="4" name="MSIP_Label_c764f11f-4bdd-42f4-8e75-1bff26264ca1_Enabled">
    <vt:lpwstr>true</vt:lpwstr>
  </property>
  <property fmtid="{D5CDD505-2E9C-101B-9397-08002B2CF9AE}" pid="5" name="MSIP_Label_c764f11f-4bdd-42f4-8e75-1bff26264ca1_SetDate">
    <vt:lpwstr>2026-01-06T13:21:32Z</vt:lpwstr>
  </property>
  <property fmtid="{D5CDD505-2E9C-101B-9397-08002B2CF9AE}" pid="6" name="MSIP_Label_c764f11f-4bdd-42f4-8e75-1bff26264ca1_Method">
    <vt:lpwstr>Privileged</vt:lpwstr>
  </property>
  <property fmtid="{D5CDD505-2E9C-101B-9397-08002B2CF9AE}" pid="7" name="MSIP_Label_c764f11f-4bdd-42f4-8e75-1bff26264ca1_Name">
    <vt:lpwstr>KANZ Internal</vt:lpwstr>
  </property>
  <property fmtid="{D5CDD505-2E9C-101B-9397-08002B2CF9AE}" pid="8" name="MSIP_Label_c764f11f-4bdd-42f4-8e75-1bff26264ca1_SiteId">
    <vt:lpwstr>057daf85-b1d5-44cd-ab7b-0a4ce1b29eae</vt:lpwstr>
  </property>
  <property fmtid="{D5CDD505-2E9C-101B-9397-08002B2CF9AE}" pid="9" name="MSIP_Label_c764f11f-4bdd-42f4-8e75-1bff26264ca1_ActionId">
    <vt:lpwstr>025cb7da-136d-462d-9979-c997f2b1aaf5</vt:lpwstr>
  </property>
  <property fmtid="{D5CDD505-2E9C-101B-9397-08002B2CF9AE}" pid="10" name="MSIP_Label_c764f11f-4bdd-42f4-8e75-1bff26264ca1_ContentBits">
    <vt:lpwstr>2</vt:lpwstr>
  </property>
  <property fmtid="{D5CDD505-2E9C-101B-9397-08002B2CF9AE}" pid="11" name="MSIP_Label_c764f11f-4bdd-42f4-8e75-1bff26264ca1_Tag">
    <vt:lpwstr>50, 0, 1, 1</vt:lpwstr>
  </property>
</Properties>
</file>